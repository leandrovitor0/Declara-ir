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eandro\Desktop\git-e-github\"/>
    </mc:Choice>
  </mc:AlternateContent>
  <xr:revisionPtr revIDLastSave="0" documentId="8_{9D9FF19A-6A44-4848-9AA5-21442155F19A}" xr6:coauthVersionLast="47" xr6:coauthVersionMax="47" xr10:uidLastSave="{00000000-0000-0000-0000-000000000000}"/>
  <bookViews>
    <workbookView xWindow="-108" yWindow="-108" windowWidth="23256" windowHeight="12456" tabRatio="0" firstSheet="2" activeTab="2" xr2:uid="{03A905F8-82CA-47A9-9F98-C4DFF3ECCA27}"/>
  </bookViews>
  <sheets>
    <sheet name="TÍTULAR" sheetId="10" r:id="rId1"/>
    <sheet name="INFORMES" sheetId="12" r:id="rId2"/>
    <sheet name="NOTAS" sheetId="13" r:id="rId3"/>
    <sheet name="TABELAS" sheetId="15" state="hidden" r:id="rId4"/>
  </sheets>
  <calcPr calcId="191029"/>
  <pivotCaches>
    <pivotCache cacheId="190" r:id="rId5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2" l="1"/>
</calcChain>
</file>

<file path=xl/sharedStrings.xml><?xml version="1.0" encoding="utf-8"?>
<sst xmlns="http://schemas.openxmlformats.org/spreadsheetml/2006/main" count="130" uniqueCount="104">
  <si>
    <t xml:space="preserve">NOME </t>
  </si>
  <si>
    <t>CPF</t>
  </si>
  <si>
    <t>NACIMENTO</t>
  </si>
  <si>
    <t>CÔNJUGE</t>
  </si>
  <si>
    <t>RUA ABREVIADA</t>
  </si>
  <si>
    <t>CEP</t>
  </si>
  <si>
    <t>TELEFONE</t>
  </si>
  <si>
    <t>CELULAR</t>
  </si>
  <si>
    <t>E-MAIL</t>
  </si>
  <si>
    <t>HOUVE ALTERAÇÃO DA ENTREGA ANTERIOR</t>
  </si>
  <si>
    <t>DEPENDENTE CÔNJUGE</t>
  </si>
  <si>
    <t>RESIDENTE DO EXTERIOR</t>
  </si>
  <si>
    <t>1. DADOS DO TÍTULAR</t>
  </si>
  <si>
    <t>Preencha os dados da sua pessoa fisica abaixo</t>
  </si>
  <si>
    <t>NÃO</t>
  </si>
  <si>
    <t>LEANDROVITOR0@GMAIL.COM</t>
  </si>
  <si>
    <t xml:space="preserve">RUA </t>
  </si>
  <si>
    <t>TÍTULO DE ELEITOR</t>
  </si>
  <si>
    <t>AV: PRESIDENTE JANIO QUADROS,-N° 123</t>
  </si>
  <si>
    <t>AV: PRESIDENTE,J,Q,-N° 123</t>
  </si>
  <si>
    <t>MARIA DO BAIRRO</t>
  </si>
  <si>
    <t>2. INFORMES DE RENDIMENTOS BANCARIOS</t>
  </si>
  <si>
    <t>Preencha com seus dados atuais de cada banco</t>
  </si>
  <si>
    <t>BANCO</t>
  </si>
  <si>
    <t>VALOR ATUAL</t>
  </si>
  <si>
    <t>ANEXO📎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</si>
  <si>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</si>
  <si>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</si>
  <si>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</si>
  <si>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</si>
  <si>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</si>
  <si>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</si>
  <si>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</si>
  <si>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</si>
  <si>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</si>
  <si>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</si>
  <si>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</si>
  <si>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</si>
  <si>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</si>
  <si>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</si>
  <si>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</si>
  <si>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</si>
  <si>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</si>
  <si>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</si>
  <si>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</si>
  <si>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</si>
  <si>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</si>
  <si>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</si>
  <si>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</si>
  <si>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</si>
  <si>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</si>
  <si>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</si>
  <si>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</si>
  <si>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</si>
  <si>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</si>
  <si>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</si>
  <si>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</si>
  <si>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</si>
  <si>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</si>
  <si>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</si>
  <si>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</si>
  <si>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</si>
  <si>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</si>
  <si>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</si>
  <si>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</si>
  <si>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</si>
  <si>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</si>
  <si>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</si>
  <si>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</si>
  <si>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</si>
  <si>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</si>
  <si>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</si>
  <si>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</si>
  <si>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</si>
  <si>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</si>
  <si>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</si>
  <si>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</si>
  <si>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 Modal_2024.PDF</t>
  </si>
  <si>
    <t>1° BANCO</t>
  </si>
  <si>
    <t>2° BANCO</t>
  </si>
  <si>
    <t>3° BANCO</t>
  </si>
  <si>
    <t>TOTAL</t>
  </si>
  <si>
    <t>3. NOTAS BANCÁRIAS OU EXTRATO DE HOLERITES</t>
  </si>
  <si>
    <t>São todos os valores de entrad mmês a mês de receita</t>
  </si>
  <si>
    <t>DATA</t>
  </si>
  <si>
    <t xml:space="preserve">CATEGORIA </t>
  </si>
  <si>
    <t>VALOR</t>
  </si>
  <si>
    <t>ENTRADAS</t>
  </si>
  <si>
    <t>HOLERITE</t>
  </si>
  <si>
    <t>FREELANCE</t>
  </si>
  <si>
    <t>CNPJ</t>
  </si>
  <si>
    <t>Soma de VALOR</t>
  </si>
  <si>
    <t>Total Geral</t>
  </si>
  <si>
    <t>jan</t>
  </si>
  <si>
    <t>fev</t>
  </si>
  <si>
    <t>mar</t>
  </si>
  <si>
    <t>dez</t>
  </si>
  <si>
    <t>ago</t>
  </si>
  <si>
    <t>set</t>
  </si>
  <si>
    <t>Meses (DATA)</t>
  </si>
  <si>
    <t>Total</t>
  </si>
  <si>
    <t>abr</t>
  </si>
  <si>
    <t>JKDJKFKDJ</t>
  </si>
  <si>
    <t>mai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</si>
</sst>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000\-000"/>
    <numFmt numFmtId="166" formatCode="&quot;(&quot;00&quot;) &quot;00000&quot;-&quot;0000"/>
    <numFmt numFmtId="167" formatCode="&quot;(&quot;00&quot;)&quot;\ 0000&quot;-&quot;0000"/>
    <numFmt numFmtId="168" formatCode="&quot;R$&quot;\ #,##0.00"/>
    <numFmt numFmtId="169" formatCode="_-[$R$-416]\ * #,##0.00_-;\-[$R$-416]\ * #,##0.00_-;_-[$R$-416]\ * &quot;-&quot;??_-;_-@_-"/>
    <numFmt numFmtId="170" formatCode="[$-416]mmmm\-yy;@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Segoe UI Light"/>
      <family val="2"/>
    </font>
    <font>
      <i/>
      <sz val="11"/>
      <color theme="1"/>
      <name val="Aptos Narrow"/>
      <family val="2"/>
      <scheme val="minor"/>
    </font>
    <font>
      <i/>
      <sz val="11"/>
      <color rgb="FF0E1317"/>
      <name val="Aptos Narrow"/>
      <family val="2"/>
      <scheme val="minor"/>
    </font>
    <font>
      <b/>
      <sz val="15"/>
      <color theme="8" tint="-0.249977111117893"/>
      <name val="Aptos Narrow"/>
      <family val="2"/>
      <scheme val="minor"/>
    </font>
    <font>
      <sz val="8"/>
      <color theme="2" tint="-0.249977111117893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11"/>
      <color theme="1"/>
      <name val="Segoe UI Light"/>
      <family val="2"/>
    </font>
    <font>
      <b/>
      <sz val="14"/>
      <color theme="8" tint="-0.249977111117893"/>
      <name val="Aptos Narrow"/>
      <family val="2"/>
      <scheme val="minor"/>
    </font>
    <font>
      <b/>
      <sz val="10"/>
      <color theme="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rgb="FFE3DDE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DFF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ck">
        <color rgb="FFF600F6"/>
      </bottom>
      <diagonal/>
    </border>
    <border>
      <left/>
      <right/>
      <top style="thick">
        <color rgb="FFF600F6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0" fillId="3" borderId="0" xfId="0" applyFill="1"/>
    <xf numFmtId="0" fontId="6" fillId="0" borderId="2" xfId="0" applyFont="1" applyBorder="1" applyAlignment="1">
      <alignment horizontal="right"/>
    </xf>
    <xf numFmtId="0" fontId="2" fillId="0" borderId="3" xfId="2" applyBorder="1"/>
    <xf numFmtId="0" fontId="9" fillId="0" borderId="3" xfId="2" applyFont="1" applyBorder="1"/>
    <xf numFmtId="0" fontId="8" fillId="4" borderId="4" xfId="0" applyFont="1" applyFill="1" applyBorder="1" applyAlignment="1">
      <alignment horizontal="left" vertical="center" indent="2"/>
    </xf>
    <xf numFmtId="0" fontId="7" fillId="4" borderId="4" xfId="0" applyFont="1" applyFill="1" applyBorder="1" applyAlignment="1">
      <alignment vertical="center"/>
    </xf>
    <xf numFmtId="0" fontId="4" fillId="5" borderId="0" xfId="0" applyFont="1" applyFill="1"/>
    <xf numFmtId="0" fontId="10" fillId="0" borderId="0" xfId="0" applyFont="1"/>
    <xf numFmtId="0" fontId="12" fillId="0" borderId="0" xfId="0" applyFont="1"/>
    <xf numFmtId="0" fontId="13" fillId="0" borderId="3" xfId="2" applyFont="1" applyBorder="1"/>
    <xf numFmtId="0" fontId="14" fillId="0" borderId="0" xfId="0" applyFont="1" applyAlignment="1">
      <alignment horizontal="center"/>
    </xf>
    <xf numFmtId="0" fontId="3" fillId="2" borderId="2" xfId="3" applyBorder="1" applyAlignment="1" applyProtection="1">
      <alignment horizontal="left"/>
      <protection locked="0"/>
    </xf>
    <xf numFmtId="164" fontId="3" fillId="2" borderId="2" xfId="3" applyNumberFormat="1" applyBorder="1" applyAlignment="1" applyProtection="1">
      <alignment horizontal="left"/>
      <protection locked="0"/>
    </xf>
    <xf numFmtId="14" fontId="3" fillId="2" borderId="2" xfId="3" applyNumberFormat="1" applyBorder="1" applyAlignment="1" applyProtection="1">
      <alignment horizontal="left"/>
      <protection locked="0"/>
    </xf>
    <xf numFmtId="165" fontId="3" fillId="2" borderId="2" xfId="3" applyNumberFormat="1" applyBorder="1" applyAlignment="1" applyProtection="1">
      <alignment horizontal="left"/>
      <protection locked="0"/>
    </xf>
    <xf numFmtId="167" fontId="3" fillId="2" borderId="2" xfId="3" applyNumberFormat="1" applyBorder="1" applyAlignment="1" applyProtection="1">
      <alignment horizontal="left"/>
      <protection locked="0"/>
    </xf>
    <xf numFmtId="166" fontId="3" fillId="2" borderId="2" xfId="3" applyNumberFormat="1" applyBorder="1" applyAlignment="1" applyProtection="1">
      <alignment horizontal="left"/>
      <protection locked="0"/>
    </xf>
    <xf numFmtId="0" fontId="5" fillId="2" borderId="2" xfId="4" applyFill="1" applyBorder="1" applyAlignment="1" applyProtection="1">
      <alignment horizontal="left"/>
      <protection locked="0"/>
    </xf>
    <xf numFmtId="169" fontId="3" fillId="2" borderId="2" xfId="1" applyNumberFormat="1" applyFont="1" applyFill="1" applyBorder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pivotButton="1"/>
    <xf numFmtId="170" fontId="7" fillId="0" borderId="0" xfId="0" applyNumberFormat="1" applyFont="1" applyAlignment="1" applyProtection="1">
      <alignment horizontal="center"/>
      <protection locked="0"/>
    </xf>
    <xf numFmtId="0" fontId="8" fillId="4" borderId="4" xfId="0" applyFont="1" applyFill="1" applyBorder="1" applyAlignment="1">
      <alignment horizontal="left" vertical="center" indent="2"/>
    </xf>
    <xf numFmtId="0" fontId="7" fillId="4" borderId="4" xfId="0" applyFont="1" applyFill="1" applyBorder="1" applyAlignment="1">
      <alignment horizontal="left" vertical="center" indent="2"/>
    </xf>
    <xf numFmtId="168" fontId="11" fillId="2" borderId="0" xfId="3" applyNumberFormat="1" applyFont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0" xfId="0" applyNumberFormat="1"/>
  </cellXfs>
  <cellStyles count="5">
    <cellStyle name="Hiperlink" xfId="4" builtinId="8"/>
    <cellStyle name="Moeda" xfId="1" builtinId="4"/>
    <cellStyle name="Neutro" xfId="3" builtinId="28"/>
    <cellStyle name="Normal" xfId="0" builtinId="0"/>
    <cellStyle name="Título 1" xfId="2" builtinId="16"/>
  </cellStyles>
  <dxfs count="5">
    <dxf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i/>
      </font>
      <numFmt numFmtId="170" formatCode="[$-416]mmmm\-yy;@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0DFF"/>
      <color rgb="FF0E1317"/>
      <color rgb="FFF600F6"/>
      <color rgb="FFFF8BFF"/>
      <color rgb="FFE3DDE2"/>
      <color rgb="FFCCCC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[DECLARA IR.xlsm]NOTAS!Tabela dinâmica7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DFF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RENDA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D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F600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FF0DFF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NOTAS!$H$8:$H$9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600F6"/>
            </a:solidFill>
            <a:ln>
              <a:noFill/>
            </a:ln>
            <a:effectLst/>
          </c:spPr>
          <c:invertIfNegative val="0"/>
          <c:cat>
            <c:strRef>
              <c:f>NOTAS!$F$10:$G$18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ago</c:v>
                </c:pt>
                <c:pt idx="6">
                  <c:v>set</c:v>
                </c:pt>
                <c:pt idx="7">
                  <c:v>dez</c:v>
                </c:pt>
              </c:strCache>
            </c:strRef>
          </c:cat>
          <c:val>
            <c:numRef>
              <c:f>NOTAS!$H$10:$H$18</c:f>
              <c:numCache>
                <c:formatCode>General</c:formatCode>
                <c:ptCount val="8"/>
                <c:pt idx="0">
                  <c:v>67000</c:v>
                </c:pt>
                <c:pt idx="1">
                  <c:v>14000</c:v>
                </c:pt>
                <c:pt idx="2">
                  <c:v>110000</c:v>
                </c:pt>
                <c:pt idx="3">
                  <c:v>4000000</c:v>
                </c:pt>
                <c:pt idx="4">
                  <c:v>1040000</c:v>
                </c:pt>
                <c:pt idx="5">
                  <c:v>10000</c:v>
                </c:pt>
                <c:pt idx="6">
                  <c:v>600010</c:v>
                </c:pt>
                <c:pt idx="7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B-4ECC-B8EC-DEA753FE4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0339016"/>
        <c:axId val="660339376"/>
      </c:barChart>
      <c:catAx>
        <c:axId val="660339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600F6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DFF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0339376"/>
        <c:crosses val="autoZero"/>
        <c:auto val="1"/>
        <c:lblAlgn val="ctr"/>
        <c:lblOffset val="100"/>
        <c:noMultiLvlLbl val="0"/>
      </c:catAx>
      <c:valAx>
        <c:axId val="66033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F600F6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DFF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0339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FF0DFF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E1317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rgbClr val="FF0DFF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leandrovitor0/" TargetMode="External"/><Relationship Id="rId7" Type="http://schemas.openxmlformats.org/officeDocument/2006/relationships/hyperlink" Target="#INFORMES!D8"/><Relationship Id="rId2" Type="http://schemas.openxmlformats.org/officeDocument/2006/relationships/hyperlink" Target="#T&#205;TULAR!C1"/><Relationship Id="rId1" Type="http://schemas.openxmlformats.org/officeDocument/2006/relationships/image" Target="../media/image1.jpeg"/><Relationship Id="rId6" Type="http://schemas.openxmlformats.org/officeDocument/2006/relationships/hyperlink" Target="#INFORMES!C1"/><Relationship Id="rId5" Type="http://schemas.openxmlformats.org/officeDocument/2006/relationships/hyperlink" Target="#NOTAS!C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leandrovitor0/" TargetMode="External"/><Relationship Id="rId2" Type="http://schemas.openxmlformats.org/officeDocument/2006/relationships/hyperlink" Target="#T&#205;TULAR!D6"/><Relationship Id="rId1" Type="http://schemas.openxmlformats.org/officeDocument/2006/relationships/image" Target="../media/image3.jpeg"/><Relationship Id="rId6" Type="http://schemas.openxmlformats.org/officeDocument/2006/relationships/hyperlink" Target="#INFORMES!D8"/><Relationship Id="rId5" Type="http://schemas.openxmlformats.org/officeDocument/2006/relationships/hyperlink" Target="#NOTAS!D9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leandrovitor0/" TargetMode="External"/><Relationship Id="rId7" Type="http://schemas.openxmlformats.org/officeDocument/2006/relationships/chart" Target="../charts/chart1.xml"/><Relationship Id="rId2" Type="http://schemas.openxmlformats.org/officeDocument/2006/relationships/hyperlink" Target="#T&#205;TULAR!C1"/><Relationship Id="rId1" Type="http://schemas.openxmlformats.org/officeDocument/2006/relationships/image" Target="../media/image3.jpeg"/><Relationship Id="rId6" Type="http://schemas.openxmlformats.org/officeDocument/2006/relationships/hyperlink" Target="#INFORMES!D8"/><Relationship Id="rId5" Type="http://schemas.openxmlformats.org/officeDocument/2006/relationships/hyperlink" Target="#NOTAS!D9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365284</xdr:colOff>
      <xdr:row>2</xdr:row>
      <xdr:rowOff>59495</xdr:rowOff>
    </xdr:from>
    <xdr:to>
      <xdr:col>0</xdr:col>
      <xdr:colOff>1507331</xdr:colOff>
      <xdr:row>8</xdr:row>
      <xdr:rowOff>92345</xdr:rowOff>
    </xdr:to>
    <xdr:pic>
      <xdr:nvPicPr>
        <xdr:cNvPr id="2" name="Imagem 1" descr="A black lion with purple lightning around it, hyper ...">
          <a:extLst>
            <a:ext uri="{FF2B5EF4-FFF2-40B4-BE49-F238E27FC236}">
              <a16:creationId xmlns:a16="http://schemas.microsoft.com/office/drawing/2014/main" id="{21E1786C-DA9C-4A74-AF11-13BE665B9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284" y="430970"/>
          <a:ext cx="1151572" cy="14101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208121</xdr:colOff>
      <xdr:row>0</xdr:row>
      <xdr:rowOff>78106</xdr:rowOff>
    </xdr:from>
    <xdr:to>
      <xdr:col>0</xdr:col>
      <xdr:colOff>1656873</xdr:colOff>
      <xdr:row>1</xdr:row>
      <xdr:rowOff>129540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1F1E385-2051-470C-9729-B65831C1782C}"/>
            </a:ext>
          </a:extLst>
        </xdr:cNvPr>
        <xdr:cNvSpPr/>
      </xdr:nvSpPr>
      <xdr:spPr>
        <a:xfrm>
          <a:off x="219551" y="78106"/>
          <a:ext cx="1448752" cy="2324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F600F6"/>
              </a:solidFill>
              <a:latin typeface="Algerian" panose="04020705040A02060702" pitchFamily="82" charset="0"/>
            </a:rPr>
            <a:t>Declara</a:t>
          </a:r>
          <a:r>
            <a:rPr lang="pt-BR" sz="2000" b="1" baseline="0">
              <a:solidFill>
                <a:srgbClr val="F600F6"/>
              </a:solidFill>
              <a:latin typeface="Algerian" panose="04020705040A02060702" pitchFamily="82" charset="0"/>
            </a:rPr>
            <a:t> </a:t>
          </a:r>
          <a:r>
            <a:rPr lang="pt-BR" sz="2000" b="1" baseline="0">
              <a:solidFill>
                <a:srgbClr val="F600F6"/>
              </a:solidFill>
              <a:effectLst>
                <a:glow rad="723900">
                  <a:schemeClr val="accent1">
                    <a:alpha val="39000"/>
                  </a:schemeClr>
                </a:glow>
              </a:effectLst>
              <a:latin typeface="Algerian" panose="04020705040A02060702" pitchFamily="82" charset="0"/>
            </a:rPr>
            <a:t>+</a:t>
          </a:r>
          <a:endParaRPr lang="pt-BR" sz="2000" b="1">
            <a:solidFill>
              <a:srgbClr val="F600F6"/>
            </a:solidFill>
            <a:effectLst>
              <a:glow rad="723900">
                <a:schemeClr val="accent1">
                  <a:alpha val="39000"/>
                </a:schemeClr>
              </a:glow>
            </a:effectLst>
            <a:latin typeface="Algerian" panose="04020705040A02060702" pitchFamily="82" charset="0"/>
          </a:endParaRPr>
        </a:p>
      </xdr:txBody>
    </xdr:sp>
    <xdr:clientData/>
  </xdr:twoCellAnchor>
  <xdr:twoCellAnchor editAs="absolute">
    <xdr:from>
      <xdr:col>0</xdr:col>
      <xdr:colOff>131445</xdr:colOff>
      <xdr:row>9</xdr:row>
      <xdr:rowOff>1345</xdr:rowOff>
    </xdr:from>
    <xdr:to>
      <xdr:col>0</xdr:col>
      <xdr:colOff>1735455</xdr:colOff>
      <xdr:row>10</xdr:row>
      <xdr:rowOff>174935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C45069-0361-4FC2-A125-16C4094B1705}"/>
            </a:ext>
          </a:extLst>
        </xdr:cNvPr>
        <xdr:cNvSpPr/>
      </xdr:nvSpPr>
      <xdr:spPr>
        <a:xfrm>
          <a:off x="142875" y="1957780"/>
          <a:ext cx="1598295" cy="362185"/>
        </a:xfrm>
        <a:prstGeom prst="roundRect">
          <a:avLst>
            <a:gd name="adj" fmla="val 42594"/>
          </a:avLst>
        </a:prstGeom>
        <a:solidFill>
          <a:srgbClr val="FF0DFF">
            <a:alpha val="59000"/>
          </a:srgbClr>
        </a:solidFill>
        <a:ln>
          <a:gradFill>
            <a:gsLst>
              <a:gs pos="40000">
                <a:srgbClr val="FF0DFF"/>
              </a:gs>
              <a:gs pos="98000">
                <a:srgbClr val="F600F6"/>
              </a:gs>
            </a:gsLst>
            <a:lin ang="5400000" scaled="1"/>
          </a:gradFill>
        </a:ln>
        <a:effectLst>
          <a:glow rad="127000">
            <a:schemeClr val="accent1">
              <a:alpha val="99000"/>
            </a:schemeClr>
          </a:glo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600F6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130492</xdr:colOff>
      <xdr:row>16</xdr:row>
      <xdr:rowOff>3370</xdr:rowOff>
    </xdr:from>
    <xdr:to>
      <xdr:col>0</xdr:col>
      <xdr:colOff>1768792</xdr:colOff>
      <xdr:row>17</xdr:row>
      <xdr:rowOff>58615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4D26B3B-6FC9-4A57-A0FB-18CDDA1E8E92}"/>
            </a:ext>
          </a:extLst>
        </xdr:cNvPr>
        <xdr:cNvSpPr/>
      </xdr:nvSpPr>
      <xdr:spPr>
        <a:xfrm>
          <a:off x="124777" y="3394270"/>
          <a:ext cx="1644015" cy="2876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600F6"/>
              </a:solidFill>
              <a:latin typeface="Agency FB" panose="020B0503020202020204" pitchFamily="34" charset="0"/>
            </a:rPr>
            <a:t>SISTEM BY LEANDRO</a:t>
          </a:r>
          <a:r>
            <a:rPr lang="pt-BR" sz="1100">
              <a:solidFill>
                <a:srgbClr val="F600F6"/>
              </a:solidFill>
            </a:rPr>
            <a:t>💜</a:t>
          </a:r>
        </a:p>
      </xdr:txBody>
    </xdr:sp>
    <xdr:clientData/>
  </xdr:twoCellAnchor>
  <xdr:twoCellAnchor editAs="oneCell">
    <xdr:from>
      <xdr:col>0</xdr:col>
      <xdr:colOff>892810</xdr:colOff>
      <xdr:row>22</xdr:row>
      <xdr:rowOff>0</xdr:rowOff>
    </xdr:from>
    <xdr:to>
      <xdr:col>0</xdr:col>
      <xdr:colOff>1047115</xdr:colOff>
      <xdr:row>22</xdr:row>
      <xdr:rowOff>167962</xdr:rowOff>
    </xdr:to>
    <xdr:pic>
      <xdr:nvPicPr>
        <xdr:cNvPr id="8" name="link" descr="linkedin-icon-png-transparent-background-8 - Ytpr.co.k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BD9B0C8-75C8-4242-9292-ACC1D639F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810" y="3810000"/>
          <a:ext cx="154305" cy="175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131445</xdr:colOff>
      <xdr:row>13</xdr:row>
      <xdr:rowOff>132235</xdr:rowOff>
    </xdr:from>
    <xdr:to>
      <xdr:col>0</xdr:col>
      <xdr:colOff>1735455</xdr:colOff>
      <xdr:row>15</xdr:row>
      <xdr:rowOff>98180</xdr:rowOff>
    </xdr:to>
    <xdr:sp macro="" textlink="">
      <xdr:nvSpPr>
        <xdr:cNvPr id="9" name="Retângulo: Cantos Arredondados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7B581B0-959F-421D-B88A-BD1F809F0358}"/>
            </a:ext>
          </a:extLst>
        </xdr:cNvPr>
        <xdr:cNvSpPr/>
      </xdr:nvSpPr>
      <xdr:spPr>
        <a:xfrm>
          <a:off x="142875" y="2915440"/>
          <a:ext cx="1598295" cy="362185"/>
        </a:xfrm>
        <a:prstGeom prst="roundRect">
          <a:avLst>
            <a:gd name="adj" fmla="val 42594"/>
          </a:avLst>
        </a:prstGeom>
        <a:noFill/>
        <a:ln>
          <a:gradFill>
            <a:gsLst>
              <a:gs pos="40000">
                <a:srgbClr val="FF0DFF"/>
              </a:gs>
              <a:gs pos="98000">
                <a:srgbClr val="F600F6"/>
              </a:gs>
            </a:gsLst>
            <a:lin ang="5400000" scaled="1"/>
          </a:gradFill>
        </a:ln>
        <a:effectLst>
          <a:glow rad="127000">
            <a:schemeClr val="accent1">
              <a:alpha val="99000"/>
            </a:schemeClr>
          </a:glo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600F6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131445</xdr:colOff>
      <xdr:row>11</xdr:row>
      <xdr:rowOff>97270</xdr:rowOff>
    </xdr:from>
    <xdr:to>
      <xdr:col>0</xdr:col>
      <xdr:colOff>1735455</xdr:colOff>
      <xdr:row>13</xdr:row>
      <xdr:rowOff>350</xdr:rowOff>
    </xdr:to>
    <xdr:sp macro="" textlink="">
      <xdr:nvSpPr>
        <xdr:cNvPr id="10" name="Retângulo: Canto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1F84E6-C48E-4173-8E9E-0228959591D3}"/>
            </a:ext>
          </a:extLst>
        </xdr:cNvPr>
        <xdr:cNvSpPr/>
      </xdr:nvSpPr>
      <xdr:spPr>
        <a:xfrm>
          <a:off x="139065" y="2436610"/>
          <a:ext cx="1605915" cy="362185"/>
        </a:xfrm>
        <a:prstGeom prst="roundRect">
          <a:avLst>
            <a:gd name="adj" fmla="val 42594"/>
          </a:avLst>
        </a:prstGeom>
        <a:noFill/>
        <a:ln>
          <a:gradFill>
            <a:gsLst>
              <a:gs pos="40000">
                <a:srgbClr val="FF0DFF"/>
              </a:gs>
              <a:gs pos="98000">
                <a:srgbClr val="F600F6"/>
              </a:gs>
            </a:gsLst>
            <a:lin ang="5400000" scaled="1"/>
          </a:gradFill>
        </a:ln>
        <a:effectLst>
          <a:glow rad="127000">
            <a:schemeClr val="accent1">
              <a:alpha val="99000"/>
            </a:schemeClr>
          </a:glo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600F6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3</xdr:col>
      <xdr:colOff>91440</xdr:colOff>
      <xdr:row>20</xdr:row>
      <xdr:rowOff>129540</xdr:rowOff>
    </xdr:from>
    <xdr:to>
      <xdr:col>3</xdr:col>
      <xdr:colOff>2438400</xdr:colOff>
      <xdr:row>22</xdr:row>
      <xdr:rowOff>93345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AAA2E44-2EF4-6033-1E46-01AB22715B64}"/>
            </a:ext>
          </a:extLst>
        </xdr:cNvPr>
        <xdr:cNvSpPr/>
      </xdr:nvSpPr>
      <xdr:spPr>
        <a:xfrm>
          <a:off x="5724525" y="4343400"/>
          <a:ext cx="2333625" cy="342900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PRÔXIMO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365284</xdr:colOff>
      <xdr:row>2</xdr:row>
      <xdr:rowOff>59495</xdr:rowOff>
    </xdr:from>
    <xdr:to>
      <xdr:col>0</xdr:col>
      <xdr:colOff>1507331</xdr:colOff>
      <xdr:row>8</xdr:row>
      <xdr:rowOff>59960</xdr:rowOff>
    </xdr:to>
    <xdr:pic>
      <xdr:nvPicPr>
        <xdr:cNvPr id="2" name="Imagem 1" descr="A black lion with purple lightning around it, hyper ...">
          <a:extLst>
            <a:ext uri="{FF2B5EF4-FFF2-40B4-BE49-F238E27FC236}">
              <a16:creationId xmlns:a16="http://schemas.microsoft.com/office/drawing/2014/main" id="{F164C545-93C6-4AB4-B8DF-BF27AF168E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474" y="427160"/>
          <a:ext cx="1153477" cy="14101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208121</xdr:colOff>
      <xdr:row>0</xdr:row>
      <xdr:rowOff>78106</xdr:rowOff>
    </xdr:from>
    <xdr:to>
      <xdr:col>0</xdr:col>
      <xdr:colOff>1656873</xdr:colOff>
      <xdr:row>1</xdr:row>
      <xdr:rowOff>129540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8E564CFC-DB15-4746-8C4D-6A1ABC747E06}"/>
            </a:ext>
          </a:extLst>
        </xdr:cNvPr>
        <xdr:cNvSpPr/>
      </xdr:nvSpPr>
      <xdr:spPr>
        <a:xfrm>
          <a:off x="217646" y="78106"/>
          <a:ext cx="1448752" cy="2362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F600F6"/>
              </a:solidFill>
              <a:latin typeface="Algerian" panose="04020705040A02060702" pitchFamily="82" charset="0"/>
            </a:rPr>
            <a:t>Declara</a:t>
          </a:r>
          <a:r>
            <a:rPr lang="pt-BR" sz="2000" b="1" baseline="0">
              <a:solidFill>
                <a:srgbClr val="F600F6"/>
              </a:solidFill>
              <a:latin typeface="Algerian" panose="04020705040A02060702" pitchFamily="82" charset="0"/>
            </a:rPr>
            <a:t> </a:t>
          </a:r>
          <a:r>
            <a:rPr lang="pt-BR" sz="2000" b="1" baseline="0">
              <a:solidFill>
                <a:srgbClr val="F600F6"/>
              </a:solidFill>
              <a:effectLst>
                <a:glow rad="723900">
                  <a:schemeClr val="accent1">
                    <a:alpha val="39000"/>
                  </a:schemeClr>
                </a:glow>
              </a:effectLst>
              <a:latin typeface="Algerian" panose="04020705040A02060702" pitchFamily="82" charset="0"/>
            </a:rPr>
            <a:t>+</a:t>
          </a:r>
          <a:endParaRPr lang="pt-BR" sz="2000" b="1">
            <a:solidFill>
              <a:srgbClr val="F600F6"/>
            </a:solidFill>
            <a:effectLst>
              <a:glow rad="723900">
                <a:schemeClr val="accent1">
                  <a:alpha val="39000"/>
                </a:schemeClr>
              </a:glow>
            </a:effectLst>
            <a:latin typeface="Algerian" panose="04020705040A02060702" pitchFamily="82" charset="0"/>
          </a:endParaRPr>
        </a:p>
      </xdr:txBody>
    </xdr:sp>
    <xdr:clientData/>
  </xdr:twoCellAnchor>
  <xdr:twoCellAnchor editAs="absolute">
    <xdr:from>
      <xdr:col>0</xdr:col>
      <xdr:colOff>131445</xdr:colOff>
      <xdr:row>9</xdr:row>
      <xdr:rowOff>1345</xdr:rowOff>
    </xdr:from>
    <xdr:to>
      <xdr:col>0</xdr:col>
      <xdr:colOff>1735455</xdr:colOff>
      <xdr:row>10</xdr:row>
      <xdr:rowOff>174935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512268-529A-41EC-985E-FC4F102800BE}"/>
            </a:ext>
          </a:extLst>
        </xdr:cNvPr>
        <xdr:cNvSpPr/>
      </xdr:nvSpPr>
      <xdr:spPr>
        <a:xfrm>
          <a:off x="140970" y="1953970"/>
          <a:ext cx="1598295" cy="362185"/>
        </a:xfrm>
        <a:prstGeom prst="roundRect">
          <a:avLst>
            <a:gd name="adj" fmla="val 42594"/>
          </a:avLst>
        </a:prstGeom>
        <a:noFill/>
        <a:ln>
          <a:gradFill>
            <a:gsLst>
              <a:gs pos="40000">
                <a:srgbClr val="FF0DFF"/>
              </a:gs>
              <a:gs pos="98000">
                <a:srgbClr val="F600F6"/>
              </a:gs>
            </a:gsLst>
            <a:lin ang="5400000" scaled="1"/>
          </a:gradFill>
        </a:ln>
        <a:effectLst>
          <a:glow rad="127000">
            <a:schemeClr val="accent1">
              <a:alpha val="99000"/>
            </a:schemeClr>
          </a:glo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600F6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130492</xdr:colOff>
      <xdr:row>16</xdr:row>
      <xdr:rowOff>39565</xdr:rowOff>
    </xdr:from>
    <xdr:to>
      <xdr:col>0</xdr:col>
      <xdr:colOff>1768792</xdr:colOff>
      <xdr:row>17</xdr:row>
      <xdr:rowOff>94810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6C5133F-0451-45E9-BC99-141FFBC4187E}"/>
            </a:ext>
          </a:extLst>
        </xdr:cNvPr>
        <xdr:cNvSpPr/>
      </xdr:nvSpPr>
      <xdr:spPr>
        <a:xfrm>
          <a:off x="126682" y="3398080"/>
          <a:ext cx="1645920" cy="2876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600F6"/>
              </a:solidFill>
              <a:latin typeface="Agency FB" panose="020B0503020202020204" pitchFamily="34" charset="0"/>
            </a:rPr>
            <a:t>SISTEM BY LEANDRO</a:t>
          </a:r>
          <a:r>
            <a:rPr lang="pt-BR" sz="1100">
              <a:solidFill>
                <a:srgbClr val="F600F6"/>
              </a:solidFill>
            </a:rPr>
            <a:t>💜</a:t>
          </a:r>
        </a:p>
      </xdr:txBody>
    </xdr:sp>
    <xdr:clientData/>
  </xdr:twoCellAnchor>
  <xdr:twoCellAnchor editAs="oneCell">
    <xdr:from>
      <xdr:col>0</xdr:col>
      <xdr:colOff>892810</xdr:colOff>
      <xdr:row>21</xdr:row>
      <xdr:rowOff>0</xdr:rowOff>
    </xdr:from>
    <xdr:to>
      <xdr:col>0</xdr:col>
      <xdr:colOff>1066165</xdr:colOff>
      <xdr:row>21</xdr:row>
      <xdr:rowOff>169867</xdr:rowOff>
    </xdr:to>
    <xdr:pic>
      <xdr:nvPicPr>
        <xdr:cNvPr id="6" name="link" descr="linkedin-icon-png-transparent-background-8 - Ytpr.co.k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D7CE1-90C6-41DE-A49A-FEC5A9A9B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810" y="3810000"/>
          <a:ext cx="173355" cy="1832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131445</xdr:colOff>
      <xdr:row>13</xdr:row>
      <xdr:rowOff>136045</xdr:rowOff>
    </xdr:from>
    <xdr:to>
      <xdr:col>0</xdr:col>
      <xdr:colOff>1735455</xdr:colOff>
      <xdr:row>15</xdr:row>
      <xdr:rowOff>136280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A7436DC-4DFE-4736-A38D-DE60A6C1DF78}"/>
            </a:ext>
          </a:extLst>
        </xdr:cNvPr>
        <xdr:cNvSpPr/>
      </xdr:nvSpPr>
      <xdr:spPr>
        <a:xfrm>
          <a:off x="140970" y="2917345"/>
          <a:ext cx="1598295" cy="362185"/>
        </a:xfrm>
        <a:prstGeom prst="roundRect">
          <a:avLst>
            <a:gd name="adj" fmla="val 42594"/>
          </a:avLst>
        </a:prstGeom>
        <a:noFill/>
        <a:ln>
          <a:gradFill>
            <a:gsLst>
              <a:gs pos="40000">
                <a:srgbClr val="FF0DFF"/>
              </a:gs>
              <a:gs pos="98000">
                <a:srgbClr val="F600F6"/>
              </a:gs>
            </a:gsLst>
            <a:lin ang="5400000" scaled="1"/>
          </a:gradFill>
        </a:ln>
        <a:effectLst>
          <a:glow rad="127000">
            <a:schemeClr val="accent1">
              <a:alpha val="99000"/>
            </a:schemeClr>
          </a:glo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600F6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131445</xdr:colOff>
      <xdr:row>11</xdr:row>
      <xdr:rowOff>74410</xdr:rowOff>
    </xdr:from>
    <xdr:to>
      <xdr:col>0</xdr:col>
      <xdr:colOff>1735455</xdr:colOff>
      <xdr:row>13</xdr:row>
      <xdr:rowOff>17495</xdr:rowOff>
    </xdr:to>
    <xdr:sp macro="" textlink="">
      <xdr:nvSpPr>
        <xdr:cNvPr id="8" name="Retângulo: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E64984D-76D7-4AC7-8E51-8E5D9A2C8F89}"/>
            </a:ext>
          </a:extLst>
        </xdr:cNvPr>
        <xdr:cNvSpPr/>
      </xdr:nvSpPr>
      <xdr:spPr>
        <a:xfrm>
          <a:off x="135255" y="2436610"/>
          <a:ext cx="1607820" cy="362185"/>
        </a:xfrm>
        <a:prstGeom prst="roundRect">
          <a:avLst>
            <a:gd name="adj" fmla="val 42594"/>
          </a:avLst>
        </a:prstGeom>
        <a:solidFill>
          <a:srgbClr val="FF0DFF">
            <a:alpha val="59000"/>
          </a:srgbClr>
        </a:solidFill>
        <a:ln>
          <a:gradFill>
            <a:gsLst>
              <a:gs pos="40000">
                <a:srgbClr val="FF0DFF"/>
              </a:gs>
              <a:gs pos="98000">
                <a:srgbClr val="F600F6"/>
              </a:gs>
            </a:gsLst>
            <a:lin ang="5400000" scaled="1"/>
          </a:gradFill>
        </a:ln>
        <a:effectLst>
          <a:glow rad="127000">
            <a:schemeClr val="accent1">
              <a:alpha val="99000"/>
            </a:schemeClr>
          </a:glo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600F6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3</xdr:col>
      <xdr:colOff>36195</xdr:colOff>
      <xdr:row>22</xdr:row>
      <xdr:rowOff>167640</xdr:rowOff>
    </xdr:from>
    <xdr:to>
      <xdr:col>3</xdr:col>
      <xdr:colOff>2967990</xdr:colOff>
      <xdr:row>24</xdr:row>
      <xdr:rowOff>167640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913EB57-D051-482F-9855-D916F5B2A260}"/>
            </a:ext>
          </a:extLst>
        </xdr:cNvPr>
        <xdr:cNvSpPr/>
      </xdr:nvSpPr>
      <xdr:spPr>
        <a:xfrm>
          <a:off x="5665470" y="4735830"/>
          <a:ext cx="2931795" cy="358140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PRÔXIMO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  <xdr:twoCellAnchor editAs="absolute">
    <xdr:from>
      <xdr:col>2</xdr:col>
      <xdr:colOff>19050</xdr:colOff>
      <xdr:row>22</xdr:row>
      <xdr:rowOff>171450</xdr:rowOff>
    </xdr:from>
    <xdr:to>
      <xdr:col>2</xdr:col>
      <xdr:colOff>2872741</xdr:colOff>
      <xdr:row>24</xdr:row>
      <xdr:rowOff>171450</xdr:rowOff>
    </xdr:to>
    <xdr:sp macro="" textlink="">
      <xdr:nvSpPr>
        <xdr:cNvPr id="12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36DD40A-7FD8-415B-AA56-11DE5295CFB7}"/>
            </a:ext>
          </a:extLst>
        </xdr:cNvPr>
        <xdr:cNvSpPr/>
      </xdr:nvSpPr>
      <xdr:spPr>
        <a:xfrm>
          <a:off x="2726055" y="4735830"/>
          <a:ext cx="2861311" cy="361950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</a:t>
          </a:r>
          <a:r>
            <a:rPr lang="pt-BR" sz="1100" baseline="0"/>
            <a:t> </a:t>
          </a:r>
          <a:r>
            <a:rPr lang="pt-BR" sz="1100"/>
            <a:t>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365284</xdr:colOff>
      <xdr:row>2</xdr:row>
      <xdr:rowOff>59495</xdr:rowOff>
    </xdr:from>
    <xdr:to>
      <xdr:col>0</xdr:col>
      <xdr:colOff>1507331</xdr:colOff>
      <xdr:row>8</xdr:row>
      <xdr:rowOff>151400</xdr:rowOff>
    </xdr:to>
    <xdr:pic>
      <xdr:nvPicPr>
        <xdr:cNvPr id="2" name="Imagem 1" descr="A black lion with purple lightning around it, hyper ...">
          <a:extLst>
            <a:ext uri="{FF2B5EF4-FFF2-40B4-BE49-F238E27FC236}">
              <a16:creationId xmlns:a16="http://schemas.microsoft.com/office/drawing/2014/main" id="{9DFDEB0A-5FBA-4233-90AA-54D8E1246C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474" y="427160"/>
          <a:ext cx="1153477" cy="14101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208121</xdr:colOff>
      <xdr:row>0</xdr:row>
      <xdr:rowOff>78106</xdr:rowOff>
    </xdr:from>
    <xdr:to>
      <xdr:col>0</xdr:col>
      <xdr:colOff>1656873</xdr:colOff>
      <xdr:row>1</xdr:row>
      <xdr:rowOff>129540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9AF01F8-FAF5-4850-95B5-1B979A0C5DA2}"/>
            </a:ext>
          </a:extLst>
        </xdr:cNvPr>
        <xdr:cNvSpPr/>
      </xdr:nvSpPr>
      <xdr:spPr>
        <a:xfrm>
          <a:off x="217646" y="78106"/>
          <a:ext cx="1448752" cy="2362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F600F6"/>
              </a:solidFill>
              <a:latin typeface="Algerian" panose="04020705040A02060702" pitchFamily="82" charset="0"/>
            </a:rPr>
            <a:t>Declara</a:t>
          </a:r>
          <a:r>
            <a:rPr lang="pt-BR" sz="2000" b="1" baseline="0">
              <a:solidFill>
                <a:srgbClr val="F600F6"/>
              </a:solidFill>
              <a:latin typeface="Algerian" panose="04020705040A02060702" pitchFamily="82" charset="0"/>
            </a:rPr>
            <a:t> </a:t>
          </a:r>
          <a:r>
            <a:rPr lang="pt-BR" sz="2000" b="1" baseline="0">
              <a:solidFill>
                <a:srgbClr val="F600F6"/>
              </a:solidFill>
              <a:effectLst>
                <a:glow rad="723900">
                  <a:schemeClr val="accent1">
                    <a:alpha val="39000"/>
                  </a:schemeClr>
                </a:glow>
              </a:effectLst>
              <a:latin typeface="Algerian" panose="04020705040A02060702" pitchFamily="82" charset="0"/>
            </a:rPr>
            <a:t>+</a:t>
          </a:r>
          <a:endParaRPr lang="pt-BR" sz="2000" b="1">
            <a:solidFill>
              <a:srgbClr val="F600F6"/>
            </a:solidFill>
            <a:effectLst>
              <a:glow rad="723900">
                <a:schemeClr val="accent1">
                  <a:alpha val="39000"/>
                </a:schemeClr>
              </a:glow>
            </a:effectLst>
            <a:latin typeface="Algerian" panose="04020705040A02060702" pitchFamily="82" charset="0"/>
          </a:endParaRPr>
        </a:p>
      </xdr:txBody>
    </xdr:sp>
    <xdr:clientData/>
  </xdr:twoCellAnchor>
  <xdr:twoCellAnchor editAs="absolute">
    <xdr:from>
      <xdr:col>0</xdr:col>
      <xdr:colOff>131445</xdr:colOff>
      <xdr:row>9</xdr:row>
      <xdr:rowOff>96595</xdr:rowOff>
    </xdr:from>
    <xdr:to>
      <xdr:col>0</xdr:col>
      <xdr:colOff>1735455</xdr:colOff>
      <xdr:row>11</xdr:row>
      <xdr:rowOff>96830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4F96F43-6A8F-4496-8982-E78B5233B69E}"/>
            </a:ext>
          </a:extLst>
        </xdr:cNvPr>
        <xdr:cNvSpPr/>
      </xdr:nvSpPr>
      <xdr:spPr>
        <a:xfrm>
          <a:off x="140970" y="1953970"/>
          <a:ext cx="1598295" cy="362185"/>
        </a:xfrm>
        <a:prstGeom prst="roundRect">
          <a:avLst>
            <a:gd name="adj" fmla="val 42594"/>
          </a:avLst>
        </a:prstGeom>
        <a:noFill/>
        <a:ln>
          <a:gradFill>
            <a:gsLst>
              <a:gs pos="40000">
                <a:srgbClr val="FF0DFF"/>
              </a:gs>
              <a:gs pos="98000">
                <a:srgbClr val="F600F6"/>
              </a:gs>
            </a:gsLst>
            <a:lin ang="5400000" scaled="1"/>
          </a:gradFill>
        </a:ln>
        <a:effectLst>
          <a:glow rad="127000">
            <a:schemeClr val="accent1">
              <a:alpha val="99000"/>
            </a:schemeClr>
          </a:glo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600F6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130492</xdr:colOff>
      <xdr:row>17</xdr:row>
      <xdr:rowOff>96715</xdr:rowOff>
    </xdr:from>
    <xdr:to>
      <xdr:col>0</xdr:col>
      <xdr:colOff>1768792</xdr:colOff>
      <xdr:row>19</xdr:row>
      <xdr:rowOff>16705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24DB8D0-0FC6-4CFF-8EE9-B8BC30EE3DCE}"/>
            </a:ext>
          </a:extLst>
        </xdr:cNvPr>
        <xdr:cNvSpPr/>
      </xdr:nvSpPr>
      <xdr:spPr>
        <a:xfrm>
          <a:off x="126682" y="3398080"/>
          <a:ext cx="1645920" cy="2876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600F6"/>
              </a:solidFill>
              <a:latin typeface="Agency FB" panose="020B0503020202020204" pitchFamily="34" charset="0"/>
            </a:rPr>
            <a:t>SISTEM BY LEANDRO</a:t>
          </a:r>
          <a:r>
            <a:rPr lang="pt-BR" sz="1100">
              <a:solidFill>
                <a:srgbClr val="F600F6"/>
              </a:solidFill>
            </a:rPr>
            <a:t>💜</a:t>
          </a:r>
        </a:p>
      </xdr:txBody>
    </xdr:sp>
    <xdr:clientData/>
  </xdr:twoCellAnchor>
  <xdr:twoCellAnchor editAs="oneCell">
    <xdr:from>
      <xdr:col>0</xdr:col>
      <xdr:colOff>892810</xdr:colOff>
      <xdr:row>21</xdr:row>
      <xdr:rowOff>0</xdr:rowOff>
    </xdr:from>
    <xdr:to>
      <xdr:col>0</xdr:col>
      <xdr:colOff>1087120</xdr:colOff>
      <xdr:row>21</xdr:row>
      <xdr:rowOff>173677</xdr:rowOff>
    </xdr:to>
    <xdr:pic>
      <xdr:nvPicPr>
        <xdr:cNvPr id="6" name="link" descr="linkedin-icon-png-transparent-background-8 - Ytpr.co.k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61F2BC7-1EB8-4A04-95FD-6512938286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810" y="3810000"/>
          <a:ext cx="186690" cy="1793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131445</xdr:colOff>
      <xdr:row>14</xdr:row>
      <xdr:rowOff>151285</xdr:rowOff>
    </xdr:from>
    <xdr:to>
      <xdr:col>0</xdr:col>
      <xdr:colOff>1735455</xdr:colOff>
      <xdr:row>16</xdr:row>
      <xdr:rowOff>151520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231C25-0254-4F4A-843B-8CD903346BF9}"/>
            </a:ext>
          </a:extLst>
        </xdr:cNvPr>
        <xdr:cNvSpPr/>
      </xdr:nvSpPr>
      <xdr:spPr>
        <a:xfrm>
          <a:off x="140970" y="2917345"/>
          <a:ext cx="1598295" cy="362185"/>
        </a:xfrm>
        <a:prstGeom prst="roundRect">
          <a:avLst>
            <a:gd name="adj" fmla="val 42594"/>
          </a:avLst>
        </a:prstGeom>
        <a:solidFill>
          <a:srgbClr val="FF0DFF">
            <a:alpha val="59000"/>
          </a:srgbClr>
        </a:solidFill>
        <a:ln>
          <a:gradFill>
            <a:gsLst>
              <a:gs pos="40000">
                <a:srgbClr val="FF0DFF"/>
              </a:gs>
              <a:gs pos="98000">
                <a:srgbClr val="F600F6"/>
              </a:gs>
            </a:gsLst>
            <a:lin ang="5400000" scaled="1"/>
          </a:gradFill>
        </a:ln>
        <a:effectLst>
          <a:glow rad="127000">
            <a:schemeClr val="accent1">
              <a:alpha val="99000"/>
            </a:schemeClr>
          </a:glo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600F6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131445</xdr:colOff>
      <xdr:row>12</xdr:row>
      <xdr:rowOff>15355</xdr:rowOff>
    </xdr:from>
    <xdr:to>
      <xdr:col>0</xdr:col>
      <xdr:colOff>1735455</xdr:colOff>
      <xdr:row>14</xdr:row>
      <xdr:rowOff>15590</xdr:rowOff>
    </xdr:to>
    <xdr:sp macro="" textlink="">
      <xdr:nvSpPr>
        <xdr:cNvPr id="8" name="Retângulo: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F32A78F-87AD-420D-8D0F-62438DD3438B}"/>
            </a:ext>
          </a:extLst>
        </xdr:cNvPr>
        <xdr:cNvSpPr/>
      </xdr:nvSpPr>
      <xdr:spPr>
        <a:xfrm>
          <a:off x="135255" y="2436610"/>
          <a:ext cx="1607820" cy="362185"/>
        </a:xfrm>
        <a:prstGeom prst="roundRect">
          <a:avLst>
            <a:gd name="adj" fmla="val 42594"/>
          </a:avLst>
        </a:prstGeom>
        <a:noFill/>
        <a:ln>
          <a:gradFill>
            <a:gsLst>
              <a:gs pos="40000">
                <a:srgbClr val="FF0DFF"/>
              </a:gs>
              <a:gs pos="98000">
                <a:srgbClr val="F600F6"/>
              </a:gs>
            </a:gsLst>
            <a:lin ang="5400000" scaled="1"/>
          </a:gradFill>
        </a:ln>
        <a:effectLst>
          <a:glow rad="127000">
            <a:schemeClr val="accent1">
              <a:alpha val="99000"/>
            </a:schemeClr>
          </a:glo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600F6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1</xdr:col>
      <xdr:colOff>592456</xdr:colOff>
      <xdr:row>4</xdr:row>
      <xdr:rowOff>97155</xdr:rowOff>
    </xdr:from>
    <xdr:to>
      <xdr:col>3</xdr:col>
      <xdr:colOff>152401</xdr:colOff>
      <xdr:row>5</xdr:row>
      <xdr:rowOff>59055</xdr:rowOff>
    </xdr:to>
    <xdr:sp macro="" textlink="">
      <xdr:nvSpPr>
        <xdr:cNvPr id="9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CD3C8A3-63D2-44D7-B07A-01769D9AE87D}"/>
            </a:ext>
          </a:extLst>
        </xdr:cNvPr>
        <xdr:cNvSpPr/>
      </xdr:nvSpPr>
      <xdr:spPr>
        <a:xfrm>
          <a:off x="2705101" y="1017270"/>
          <a:ext cx="1447800" cy="154305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</a:t>
          </a:r>
          <a:r>
            <a:rPr lang="pt-BR" sz="1100" baseline="0"/>
            <a:t> </a:t>
          </a:r>
          <a:r>
            <a:rPr lang="pt-BR" sz="1100"/>
            <a:t>ANTERIOR</a:t>
          </a:r>
        </a:p>
      </xdr:txBody>
    </xdr:sp>
    <xdr:clientData/>
  </xdr:twoCellAnchor>
  <xdr:twoCellAnchor>
    <xdr:from>
      <xdr:col>8</xdr:col>
      <xdr:colOff>293370</xdr:colOff>
      <xdr:row>5</xdr:row>
      <xdr:rowOff>131445</xdr:rowOff>
    </xdr:from>
    <xdr:to>
      <xdr:col>15</xdr:col>
      <xdr:colOff>554355</xdr:colOff>
      <xdr:row>20</xdr:row>
      <xdr:rowOff>121920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8D5CFDA3-1DD3-1A9E-083F-F10428525A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eandro" refreshedDate="45812.65081979167" createdVersion="8" refreshedVersion="8" minRefreshableVersion="3" recordCount="26" xr:uid="{C48ED4CD-6941-4389-997A-ED2F5AAA6F75}">
  <cacheSource type="worksheet">
    <worksheetSource name="Tabela1"/>
  </cacheSource>
  <cacheFields count="5">
    <cacheField name="DATA" numFmtId="170">
      <sharedItems containsNonDate="0" containsDate="1" containsString="0" containsBlank="1" minDate="2024-01-01T00:00:00" maxDate="2024-12-02T00:00:00" count="9">
        <d v="2024-01-01T00:00:00"/>
        <d v="2024-02-01T00:00:00"/>
        <d v="2024-03-01T00:00:00"/>
        <d v="2024-12-01T00:00:00"/>
        <d v="2024-08-01T00:00:00"/>
        <d v="2024-09-01T00:00:00"/>
        <d v="2024-04-01T00:00:00"/>
        <d v="2024-05-01T00:00:00"/>
        <m/>
      </sharedItems>
      <fieldGroup par="4"/>
    </cacheField>
    <cacheField name="CATEGORIA " numFmtId="0">
      <sharedItems containsBlank="1" count="4">
        <s v="HOLERITE"/>
        <s v="CNPJ"/>
        <s v="FREELANCE"/>
        <m/>
      </sharedItems>
    </cacheField>
    <cacheField name="VALOR" numFmtId="168">
      <sharedItems containsString="0" containsBlank="1" containsNumber="1" containsInteger="1" minValue="10" maxValue="4000000"/>
    </cacheField>
    <cacheField name="Dias (DATA)" numFmtId="0" databaseField="0">
      <fieldGroup base="0">
        <rangePr groupBy="days" startDate="2024-01-01T00:00:00" endDate="2024-12-02T00:00:00"/>
        <groupItems count="368">
          <s v="&lt;01/01/2024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12/2024"/>
        </groupItems>
      </fieldGroup>
    </cacheField>
    <cacheField name="Meses (DATA)" numFmtId="0" databaseField="0">
      <fieldGroup base="0">
        <rangePr groupBy="months" startDate="2024-01-01T00:00:00" endDate="2024-12-02T00:00:00"/>
        <groupItems count="14">
          <s v="&lt;01/0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2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x v="0"/>
    <n v="4000"/>
  </r>
  <r>
    <x v="0"/>
    <x v="1"/>
    <n v="6000"/>
  </r>
  <r>
    <x v="0"/>
    <x v="2"/>
    <n v="7000"/>
  </r>
  <r>
    <x v="1"/>
    <x v="0"/>
    <n v="4000"/>
  </r>
  <r>
    <x v="2"/>
    <x v="2"/>
    <n v="10000"/>
  </r>
  <r>
    <x v="3"/>
    <x v="1"/>
    <n v="50000"/>
  </r>
  <r>
    <x v="2"/>
    <x v="2"/>
    <n v="100000"/>
  </r>
  <r>
    <x v="1"/>
    <x v="0"/>
    <n v="10000"/>
  </r>
  <r>
    <x v="4"/>
    <x v="1"/>
    <n v="10000"/>
  </r>
  <r>
    <x v="5"/>
    <x v="1"/>
    <n v="600000"/>
  </r>
  <r>
    <x v="5"/>
    <x v="0"/>
    <n v="10"/>
  </r>
  <r>
    <x v="6"/>
    <x v="1"/>
    <n v="4000000"/>
  </r>
  <r>
    <x v="7"/>
    <x v="2"/>
    <n v="1000000"/>
  </r>
  <r>
    <x v="7"/>
    <x v="0"/>
    <n v="40000"/>
  </r>
  <r>
    <x v="0"/>
    <x v="2"/>
    <n v="50000"/>
  </r>
  <r>
    <x v="8"/>
    <x v="3"/>
    <m/>
  </r>
  <r>
    <x v="8"/>
    <x v="3"/>
    <m/>
  </r>
  <r>
    <x v="8"/>
    <x v="3"/>
    <m/>
  </r>
  <r>
    <x v="8"/>
    <x v="3"/>
    <m/>
  </r>
  <r>
    <x v="8"/>
    <x v="3"/>
    <m/>
  </r>
  <r>
    <x v="8"/>
    <x v="3"/>
    <m/>
  </r>
  <r>
    <x v="8"/>
    <x v="3"/>
    <m/>
  </r>
  <r>
    <x v="8"/>
    <x v="3"/>
    <m/>
  </r>
  <r>
    <x v="8"/>
    <x v="3"/>
    <m/>
  </r>
  <r>
    <x v="8"/>
    <x v="3"/>
    <m/>
  </r>
  <r>
    <x v="8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005AC7-1A06-46EC-AF63-8B23EE224C80}" name="Tabela dinâmica7" cacheId="1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 chartFormat="2">
  <location ref="F8:H18" firstHeaderRow="2" firstDataRow="2" firstDataCol="2"/>
  <pivotFields count="5">
    <pivotField compact="0" outline="0" showAll="0">
      <items count="10">
        <item x="0"/>
        <item x="1"/>
        <item x="2"/>
        <item x="4"/>
        <item x="3"/>
        <item h="1" x="8"/>
        <item x="5"/>
        <item h="1" x="6"/>
        <item h="1" x="7"/>
        <item t="default"/>
      </items>
    </pivotField>
    <pivotField axis="axisRow" compact="0" outline="0" multipleItemSelectionAllowed="1" showAll="0">
      <items count="5">
        <item x="1"/>
        <item x="2"/>
        <item x="0"/>
        <item h="1" x="3"/>
        <item t="default"/>
      </items>
    </pivotField>
    <pivotField dataField="1" compact="0" outline="0" showAll="0"/>
    <pivotField compact="0" outline="0"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</items>
    </pivotField>
  </pivotFields>
  <rowFields count="2">
    <field x="4"/>
    <field x="1"/>
  </rowFields>
  <rowItems count="9">
    <i>
      <x v="1"/>
    </i>
    <i>
      <x v="2"/>
    </i>
    <i>
      <x v="3"/>
    </i>
    <i>
      <x v="4"/>
    </i>
    <i>
      <x v="5"/>
    </i>
    <i>
      <x v="8"/>
    </i>
    <i>
      <x v="9"/>
    </i>
    <i>
      <x v="12"/>
    </i>
    <i t="grand">
      <x/>
    </i>
  </rowItems>
  <colItems count="1">
    <i/>
  </colItems>
  <dataFields count="1">
    <dataField name="Soma de VALOR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C9E411-2EB5-4317-A008-70951B2A2700}" name="Tabela1" displayName="Tabela1" ref="C8:E34" totalsRowShown="0" headerRowDxfId="4" dataDxfId="3">
  <autoFilter ref="C8:E34" xr:uid="{57C9E411-2EB5-4317-A008-70951B2A2700}"/>
  <tableColumns count="3">
    <tableColumn id="1" xr3:uid="{AD0CA476-E036-4110-85DD-4F6B7EA7EB6D}" name="DATA" dataDxfId="2"/>
    <tableColumn id="2" xr3:uid="{E165F3F3-D7C1-4766-8B70-F5F1C3E011E6}" name="CATEGORIA " dataDxfId="1"/>
    <tableColumn id="3" xr3:uid="{E72168D1-0164-4719-9D66-41E4859799EE}" name="VALOR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EANDROVITOR0@GMAIL.COM?subject=Oi%20presisamos%20falar%20sobre%20sua%20declara&#231;&#227;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CD50B-2E23-4486-8042-3B5533971976}">
  <sheetPr codeName="Planilha1">
    <pageSetUpPr autoPageBreaks="0"/>
  </sheetPr>
  <dimension ref="A2:E19"/>
  <sheetViews>
    <sheetView showGridLines="0" showRowColHeaders="0" zoomScaleNormal="100" workbookViewId="0">
      <selection activeCell="D6" sqref="D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0.6640625" style="1" customWidth="1"/>
    <col min="3" max="3" width="42.44140625" customWidth="1"/>
    <col min="4" max="4" width="43.44140625" customWidth="1"/>
  </cols>
  <sheetData>
    <row r="2" spans="3:5" ht="15" customHeight="1" x14ac:dyDescent="0.3"/>
    <row r="3" spans="3:5" ht="22.05" customHeight="1" thickBot="1" x14ac:dyDescent="0.45">
      <c r="C3" s="4" t="s">
        <v>12</v>
      </c>
      <c r="D3" s="3"/>
      <c r="E3" s="3"/>
    </row>
    <row r="4" spans="3:5" ht="22.05" customHeight="1" thickTop="1" x14ac:dyDescent="0.3">
      <c r="C4" s="5" t="s">
        <v>13</v>
      </c>
      <c r="D4" s="6"/>
      <c r="E4" s="6"/>
    </row>
    <row r="6" spans="3:5" ht="16.8" x14ac:dyDescent="0.4">
      <c r="C6" s="2" t="s">
        <v>0</v>
      </c>
      <c r="D6" s="12" t="s">
        <v>102</v>
      </c>
    </row>
    <row r="7" spans="3:5" ht="16.8" x14ac:dyDescent="0.4">
      <c r="C7" s="2" t="s">
        <v>1</v>
      </c>
      <c r="D7" s="13">
        <v>12312312300</v>
      </c>
    </row>
    <row r="8" spans="3:5" ht="16.8" x14ac:dyDescent="0.4">
      <c r="C8" s="2" t="s">
        <v>2</v>
      </c>
      <c r="D8" s="14">
        <v>29623</v>
      </c>
    </row>
    <row r="9" spans="3:5" ht="16.8" x14ac:dyDescent="0.4">
      <c r="C9" s="2" t="s">
        <v>17</v>
      </c>
      <c r="D9" s="12">
        <v>31713388</v>
      </c>
    </row>
    <row r="10" spans="3:5" ht="16.8" x14ac:dyDescent="0.4">
      <c r="C10" s="2" t="s">
        <v>3</v>
      </c>
      <c r="D10" s="12" t="s">
        <v>20</v>
      </c>
    </row>
    <row r="11" spans="3:5" ht="16.8" x14ac:dyDescent="0.4">
      <c r="C11" s="2" t="s">
        <v>16</v>
      </c>
      <c r="D11" s="12" t="s">
        <v>18</v>
      </c>
    </row>
    <row r="12" spans="3:5" ht="16.8" x14ac:dyDescent="0.4">
      <c r="C12" s="2" t="s">
        <v>4</v>
      </c>
      <c r="D12" s="12" t="s">
        <v>19</v>
      </c>
    </row>
    <row r="13" spans="3:5" ht="16.8" x14ac:dyDescent="0.4">
      <c r="C13" s="2" t="s">
        <v>5</v>
      </c>
      <c r="D13" s="15">
        <v>6850000</v>
      </c>
    </row>
    <row r="14" spans="3:5" ht="16.8" x14ac:dyDescent="0.4">
      <c r="C14" s="2" t="s">
        <v>6</v>
      </c>
      <c r="D14" s="16">
        <v>1199999999</v>
      </c>
    </row>
    <row r="15" spans="3:5" ht="16.8" x14ac:dyDescent="0.4">
      <c r="C15" s="2" t="s">
        <v>7</v>
      </c>
      <c r="D15" s="17">
        <v>11999999999</v>
      </c>
    </row>
    <row r="16" spans="3:5" ht="16.8" x14ac:dyDescent="0.4">
      <c r="C16" s="2" t="s">
        <v>8</v>
      </c>
      <c r="D16" s="18" t="s">
        <v>15</v>
      </c>
    </row>
    <row r="17" spans="3:4" ht="16.8" x14ac:dyDescent="0.4">
      <c r="C17" s="2" t="s">
        <v>9</v>
      </c>
      <c r="D17" s="12" t="s">
        <v>14</v>
      </c>
    </row>
    <row r="18" spans="3:4" ht="16.8" x14ac:dyDescent="0.4">
      <c r="C18" s="2" t="s">
        <v>10</v>
      </c>
      <c r="D18" s="12" t="s">
        <v>14</v>
      </c>
    </row>
    <row r="19" spans="3:4" ht="16.8" x14ac:dyDescent="0.4">
      <c r="C19" s="2" t="s">
        <v>11</v>
      </c>
      <c r="D19" s="12" t="s">
        <v>14</v>
      </c>
    </row>
  </sheetData>
  <sheetProtection algorithmName="SHA-512" hashValue="7CpAZ0wlJDL4p5oymoFHWInTq7GMzNTIFc0al/77bwNYuMMJnaX/Mac9rya/Lr/kZs3qKOh8Euc+a5yG9leyPw==" saltValue="ANBkhYs60z9Fs5a1nSQVLw==" spinCount="100000" sheet="1" objects="1" scenarios="1" selectLockedCells="1"/>
  <dataValidations count="1">
    <dataValidation type="list" allowBlank="1" showInputMessage="1" showErrorMessage="1" sqref="D17:D19" xr:uid="{0385E72C-0D81-49C7-8A97-0DA189A50052}">
      <formula1>"SIM,NÃO"</formula1>
    </dataValidation>
  </dataValidations>
  <hyperlinks>
    <hyperlink ref="D16" r:id="rId1" xr:uid="{C34E9465-CAC3-4425-98C1-50D6022130F8}"/>
  </hyperlinks>
  <pageMargins left="1" right="1" top="1" bottom="1" header="0.5" footer="0.5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5DFDF-3493-4AB7-B3B2-0F2A5733ECEB}">
  <sheetPr codeName="Planilha2"/>
  <dimension ref="A2:E22"/>
  <sheetViews>
    <sheetView showGridLines="0" showRowColHeaders="0" workbookViewId="0">
      <selection activeCell="D17" sqref="D17"/>
    </sheetView>
  </sheetViews>
  <sheetFormatPr defaultRowHeight="14.4" x14ac:dyDescent="0.3"/>
  <cols>
    <col min="1" max="1" width="30.6640625" style="1" customWidth="1"/>
    <col min="3" max="3" width="42.44140625" customWidth="1"/>
    <col min="4" max="4" width="43.44140625" customWidth="1"/>
  </cols>
  <sheetData>
    <row r="2" spans="3:5" ht="15" customHeight="1" x14ac:dyDescent="0.3"/>
    <row r="3" spans="3:5" ht="22.05" customHeight="1" thickBot="1" x14ac:dyDescent="0.45">
      <c r="C3" s="4" t="s">
        <v>21</v>
      </c>
      <c r="D3" s="3"/>
      <c r="E3" s="3"/>
    </row>
    <row r="4" spans="3:5" ht="22.05" customHeight="1" thickTop="1" x14ac:dyDescent="0.3">
      <c r="C4" s="24" t="s">
        <v>22</v>
      </c>
      <c r="D4" s="25"/>
      <c r="E4" s="25"/>
    </row>
    <row r="5" spans="3:5" x14ac:dyDescent="0.3">
      <c r="C5" s="8"/>
    </row>
    <row r="6" spans="3:5" ht="16.8" x14ac:dyDescent="0.4">
      <c r="C6" s="9" t="s">
        <v>81</v>
      </c>
    </row>
    <row r="7" spans="3:5" ht="22.8" customHeight="1" x14ac:dyDescent="0.3">
      <c r="C7" s="26">
        <f>SUM(D11,D16,D21,)</f>
        <v>470000</v>
      </c>
      <c r="D7" s="26"/>
    </row>
    <row r="9" spans="3:5" x14ac:dyDescent="0.3">
      <c r="C9" s="8" t="s">
        <v>78</v>
      </c>
    </row>
    <row r="10" spans="3:5" ht="16.8" x14ac:dyDescent="0.4">
      <c r="C10" s="2" t="s">
        <v>23</v>
      </c>
      <c r="D10" s="12" t="s">
        <v>28</v>
      </c>
    </row>
    <row r="11" spans="3:5" ht="16.8" x14ac:dyDescent="0.4">
      <c r="C11" s="2" t="s">
        <v>24</v>
      </c>
      <c r="D11" s="19">
        <v>40000</v>
      </c>
    </row>
    <row r="12" spans="3:5" ht="16.8" x14ac:dyDescent="0.4">
      <c r="C12" s="2" t="s">
        <v>25</v>
      </c>
      <c r="D12" s="12" t="s">
        <v>77</v>
      </c>
    </row>
    <row r="14" spans="3:5" x14ac:dyDescent="0.3">
      <c r="C14" s="8" t="s">
        <v>79</v>
      </c>
    </row>
    <row r="15" spans="3:5" ht="16.8" x14ac:dyDescent="0.4">
      <c r="C15" s="2" t="s">
        <v>23</v>
      </c>
      <c r="D15" s="12" t="s">
        <v>61</v>
      </c>
    </row>
    <row r="16" spans="3:5" ht="16.8" x14ac:dyDescent="0.4">
      <c r="C16" s="2" t="s">
        <v>24</v>
      </c>
      <c r="D16" s="19">
        <v>400000</v>
      </c>
    </row>
    <row r="17" spans="3:4" ht="16.8" x14ac:dyDescent="0.4">
      <c r="C17" s="2" t="s">
        <v>25</v>
      </c>
      <c r="D17" s="12" t="s">
        <v>77</v>
      </c>
    </row>
    <row r="19" spans="3:4" x14ac:dyDescent="0.3">
      <c r="C19" s="8" t="s">
        <v>80</v>
      </c>
    </row>
    <row r="20" spans="3:4" ht="16.8" x14ac:dyDescent="0.4">
      <c r="C20" s="2" t="s">
        <v>23</v>
      </c>
      <c r="D20" s="12" t="s">
        <v>62</v>
      </c>
    </row>
    <row r="21" spans="3:4" ht="16.8" x14ac:dyDescent="0.4">
      <c r="C21" s="2" t="s">
        <v>24</v>
      </c>
      <c r="D21" s="19">
        <v>30000</v>
      </c>
    </row>
    <row r="22" spans="3:4" ht="16.8" x14ac:dyDescent="0.4">
      <c r="C22" s="2" t="s">
        <v>25</v>
      </c>
      <c r="D22" s="12" t="s">
        <v>77</v>
      </c>
    </row>
  </sheetData>
  <sheetProtection algorithmName="SHA-512" hashValue="Zti3do0z2kLy9sSp6tTkmu6zLXk/1OUhvUTX2UgMF4f0HSggUPvppyasgZSmeNSgfJHNWwm4xn3zScu46QsxwQ==" saltValue="Lod83jFo3cOAIty8Cc9xUw==" spinCount="100000" sheet="1"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xWindow="746" yWindow="560" count="1">
        <x14:dataValidation type="list" allowBlank="1" showInputMessage="1" showErrorMessage="1" errorTitle="BANCO NAO ENCONTRADO" error="INFORME UM BANCO DA LISTA" promptTitle="INFORME UM BANCO " prompt="INFORME UM BANCO VINCULADO AO SEU CPF" xr:uid="{9B8CAE62-EFD4-4849-8391-3BC21CA4EAB9}">
          <x14:formula1>
            <xm:f>TABELAS!$A$2:$A$51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77B30-DC13-4C3F-B6C7-FC0FD5C70C02}">
  <sheetPr codeName="Planilha3"/>
  <dimension ref="A2:H34"/>
  <sheetViews>
    <sheetView showGridLines="0" showRowColHeaders="0" tabSelected="1" topLeftCell="B1" workbookViewId="0">
      <selection activeCell="D9" sqref="D9"/>
    </sheetView>
  </sheetViews>
  <sheetFormatPr defaultRowHeight="14.4" x14ac:dyDescent="0.3"/>
  <cols>
    <col min="1" max="1" width="30.6640625" style="1" customWidth="1"/>
    <col min="3" max="5" width="18.77734375" customWidth="1"/>
    <col min="6" max="6" width="17.88671875" hidden="1" customWidth="1"/>
    <col min="7" max="7" width="14.88671875" hidden="1" customWidth="1"/>
    <col min="8" max="8" width="8" hidden="1" customWidth="1"/>
    <col min="9" max="9" width="11.33203125" bestFit="1" customWidth="1"/>
    <col min="10" max="10" width="10.44140625" bestFit="1" customWidth="1"/>
  </cols>
  <sheetData>
    <row r="2" spans="3:8" ht="15" customHeight="1" x14ac:dyDescent="0.3"/>
    <row r="3" spans="3:8" ht="22.05" customHeight="1" thickBot="1" x14ac:dyDescent="0.45">
      <c r="C3" s="10" t="s">
        <v>82</v>
      </c>
      <c r="D3" s="3"/>
      <c r="E3" s="3"/>
    </row>
    <row r="4" spans="3:8" ht="22.05" customHeight="1" thickTop="1" x14ac:dyDescent="0.3">
      <c r="C4" s="5" t="s">
        <v>83</v>
      </c>
      <c r="D4" s="6"/>
      <c r="E4" s="6"/>
    </row>
    <row r="7" spans="3:8" ht="16.8" x14ac:dyDescent="0.3">
      <c r="C7" s="27" t="s">
        <v>87</v>
      </c>
      <c r="D7" s="28"/>
      <c r="E7" s="28"/>
    </row>
    <row r="8" spans="3:8" ht="15" x14ac:dyDescent="0.35">
      <c r="C8" s="11" t="s">
        <v>84</v>
      </c>
      <c r="D8" s="11" t="s">
        <v>85</v>
      </c>
      <c r="E8" s="11" t="s">
        <v>86</v>
      </c>
      <c r="F8" s="22" t="s">
        <v>91</v>
      </c>
    </row>
    <row r="9" spans="3:8" x14ac:dyDescent="0.3">
      <c r="C9" s="23">
        <v>45292</v>
      </c>
      <c r="D9" s="23" t="s">
        <v>88</v>
      </c>
      <c r="E9" s="21">
        <v>4000</v>
      </c>
      <c r="F9" s="22" t="s">
        <v>99</v>
      </c>
      <c r="G9" s="22" t="s">
        <v>85</v>
      </c>
      <c r="H9" t="s">
        <v>100</v>
      </c>
    </row>
    <row r="10" spans="3:8" x14ac:dyDescent="0.3">
      <c r="C10" s="23">
        <v>45292</v>
      </c>
      <c r="D10" s="20" t="s">
        <v>90</v>
      </c>
      <c r="E10" s="21">
        <v>6000</v>
      </c>
      <c r="F10" t="s">
        <v>93</v>
      </c>
      <c r="H10" s="29">
        <v>67000</v>
      </c>
    </row>
    <row r="11" spans="3:8" x14ac:dyDescent="0.3">
      <c r="C11" s="23">
        <v>45292</v>
      </c>
      <c r="D11" s="20" t="s">
        <v>89</v>
      </c>
      <c r="E11" s="21">
        <v>7000</v>
      </c>
      <c r="F11" t="s">
        <v>94</v>
      </c>
      <c r="H11" s="29">
        <v>14000</v>
      </c>
    </row>
    <row r="12" spans="3:8" x14ac:dyDescent="0.3">
      <c r="C12" s="23">
        <v>45323</v>
      </c>
      <c r="D12" s="20" t="s">
        <v>88</v>
      </c>
      <c r="E12" s="21">
        <v>4000</v>
      </c>
      <c r="F12" t="s">
        <v>95</v>
      </c>
      <c r="H12" s="29">
        <v>110000</v>
      </c>
    </row>
    <row r="13" spans="3:8" x14ac:dyDescent="0.3">
      <c r="C13" s="23">
        <v>45352</v>
      </c>
      <c r="D13" s="20" t="s">
        <v>89</v>
      </c>
      <c r="E13" s="21">
        <v>10000</v>
      </c>
      <c r="F13" t="s">
        <v>101</v>
      </c>
      <c r="H13" s="29">
        <v>4000000</v>
      </c>
    </row>
    <row r="14" spans="3:8" x14ac:dyDescent="0.3">
      <c r="C14" s="23">
        <v>45627</v>
      </c>
      <c r="D14" s="20" t="s">
        <v>90</v>
      </c>
      <c r="E14" s="21">
        <v>50000</v>
      </c>
      <c r="F14" t="s">
        <v>103</v>
      </c>
      <c r="H14" s="29">
        <v>1040000</v>
      </c>
    </row>
    <row r="15" spans="3:8" x14ac:dyDescent="0.3">
      <c r="C15" s="23">
        <v>45352</v>
      </c>
      <c r="D15" s="20" t="s">
        <v>89</v>
      </c>
      <c r="E15" s="21">
        <v>100000</v>
      </c>
      <c r="F15" t="s">
        <v>97</v>
      </c>
      <c r="H15" s="29">
        <v>10000</v>
      </c>
    </row>
    <row r="16" spans="3:8" x14ac:dyDescent="0.3">
      <c r="C16" s="23">
        <v>45323</v>
      </c>
      <c r="D16" s="20" t="s">
        <v>88</v>
      </c>
      <c r="E16" s="21">
        <v>10000</v>
      </c>
      <c r="F16" t="s">
        <v>98</v>
      </c>
      <c r="H16" s="29">
        <v>600010</v>
      </c>
    </row>
    <row r="17" spans="3:8" x14ac:dyDescent="0.3">
      <c r="C17" s="23">
        <v>45505</v>
      </c>
      <c r="D17" s="20" t="s">
        <v>90</v>
      </c>
      <c r="E17" s="21">
        <v>10000</v>
      </c>
      <c r="F17" t="s">
        <v>96</v>
      </c>
      <c r="H17" s="29">
        <v>50000</v>
      </c>
    </row>
    <row r="18" spans="3:8" x14ac:dyDescent="0.3">
      <c r="C18" s="23">
        <v>45536</v>
      </c>
      <c r="D18" s="20" t="s">
        <v>90</v>
      </c>
      <c r="E18" s="21">
        <v>600000</v>
      </c>
      <c r="F18" t="s">
        <v>92</v>
      </c>
      <c r="H18" s="29">
        <v>5891010</v>
      </c>
    </row>
    <row r="19" spans="3:8" x14ac:dyDescent="0.3">
      <c r="C19" s="23">
        <v>45536</v>
      </c>
      <c r="D19" s="20" t="s">
        <v>88</v>
      </c>
      <c r="E19" s="21">
        <v>10</v>
      </c>
    </row>
    <row r="20" spans="3:8" x14ac:dyDescent="0.3">
      <c r="C20" s="23">
        <v>45383</v>
      </c>
      <c r="D20" s="20" t="s">
        <v>90</v>
      </c>
      <c r="E20" s="21">
        <v>4000000</v>
      </c>
    </row>
    <row r="21" spans="3:8" x14ac:dyDescent="0.3">
      <c r="C21" s="23">
        <v>45413</v>
      </c>
      <c r="D21" s="20" t="s">
        <v>89</v>
      </c>
      <c r="E21" s="21">
        <v>1000000</v>
      </c>
    </row>
    <row r="22" spans="3:8" x14ac:dyDescent="0.3">
      <c r="C22" s="23">
        <v>45413</v>
      </c>
      <c r="D22" s="20" t="s">
        <v>88</v>
      </c>
      <c r="E22" s="21">
        <v>40000</v>
      </c>
    </row>
    <row r="23" spans="3:8" x14ac:dyDescent="0.3">
      <c r="C23" s="23">
        <v>45292</v>
      </c>
      <c r="D23" s="20" t="s">
        <v>89</v>
      </c>
      <c r="E23" s="21">
        <v>50000</v>
      </c>
    </row>
    <row r="24" spans="3:8" x14ac:dyDescent="0.3">
      <c r="C24" s="23"/>
      <c r="D24" s="20"/>
      <c r="E24" s="21"/>
    </row>
    <row r="25" spans="3:8" x14ac:dyDescent="0.3">
      <c r="C25" s="23"/>
      <c r="D25" s="20"/>
      <c r="E25" s="21"/>
    </row>
    <row r="26" spans="3:8" x14ac:dyDescent="0.3">
      <c r="C26" s="23"/>
      <c r="D26" s="20"/>
      <c r="E26" s="21"/>
    </row>
    <row r="27" spans="3:8" x14ac:dyDescent="0.3">
      <c r="C27" s="23"/>
      <c r="D27" s="20"/>
      <c r="E27" s="21"/>
    </row>
    <row r="28" spans="3:8" x14ac:dyDescent="0.3">
      <c r="C28" s="23"/>
      <c r="D28" s="20"/>
      <c r="E28" s="21"/>
    </row>
    <row r="29" spans="3:8" x14ac:dyDescent="0.3">
      <c r="C29" s="23"/>
      <c r="D29" s="20"/>
      <c r="E29" s="21"/>
    </row>
    <row r="30" spans="3:8" x14ac:dyDescent="0.3">
      <c r="C30" s="23"/>
      <c r="D30" s="20"/>
      <c r="E30" s="21"/>
    </row>
    <row r="31" spans="3:8" x14ac:dyDescent="0.3">
      <c r="C31" s="23"/>
      <c r="D31" s="20"/>
      <c r="E31" s="21"/>
    </row>
    <row r="32" spans="3:8" x14ac:dyDescent="0.3">
      <c r="C32" s="23"/>
      <c r="D32" s="20"/>
      <c r="E32" s="21"/>
    </row>
    <row r="33" spans="3:5" x14ac:dyDescent="0.3">
      <c r="C33" s="23"/>
      <c r="D33" s="20"/>
      <c r="E33" s="21"/>
    </row>
    <row r="34" spans="3:5" x14ac:dyDescent="0.3">
      <c r="C34" s="23"/>
      <c r="D34" s="20"/>
      <c r="E34" s="21"/>
    </row>
  </sheetData>
  <sheetProtection selectLockedCells="1" autoFilter="0" pivotTables="0"/>
  <mergeCells count="1">
    <mergeCell ref="C7:E7"/>
  </mergeCells>
  <dataValidations count="1">
    <dataValidation type="list" allowBlank="1" showInputMessage="1" showErrorMessage="1" sqref="D9:D34" xr:uid="{B50E3C2E-3AE8-4A1F-A115-1C975527E9F8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F678-39FF-49DD-977B-E0C580C617B0}">
  <sheetPr codeName="Planilha5"/>
  <dimension ref="A1:A51"/>
  <sheetViews>
    <sheetView showGridLines="0" topLeftCell="A30" workbookViewId="0">
      <selection activeCell="C6" sqref="C6"/>
    </sheetView>
  </sheetViews>
  <sheetFormatPr defaultRowHeight="14.4" x14ac:dyDescent="0.3"/>
  <cols>
    <col min="1" max="1" width="37.88671875" bestFit="1" customWidth="1"/>
  </cols>
  <sheetData>
    <row r="1" spans="1:1" x14ac:dyDescent="0.3">
      <c r="A1" s="7" t="s">
        <v>26</v>
      </c>
    </row>
    <row r="2" spans="1:1" x14ac:dyDescent="0.3">
      <c r="A2" t="s">
        <v>27</v>
      </c>
    </row>
    <row r="3" spans="1:1" x14ac:dyDescent="0.3">
      <c r="A3" t="s">
        <v>28</v>
      </c>
    </row>
    <row r="4" spans="1:1" x14ac:dyDescent="0.3">
      <c r="A4" t="s">
        <v>29</v>
      </c>
    </row>
    <row r="5" spans="1:1" x14ac:dyDescent="0.3">
      <c r="A5" t="s">
        <v>30</v>
      </c>
    </row>
    <row r="6" spans="1:1" x14ac:dyDescent="0.3">
      <c r="A6" t="s">
        <v>31</v>
      </c>
    </row>
    <row r="7" spans="1:1" x14ac:dyDescent="0.3">
      <c r="A7" t="s">
        <v>32</v>
      </c>
    </row>
    <row r="8" spans="1:1" x14ac:dyDescent="0.3">
      <c r="A8" t="s">
        <v>33</v>
      </c>
    </row>
    <row r="9" spans="1:1" x14ac:dyDescent="0.3">
      <c r="A9" t="s">
        <v>34</v>
      </c>
    </row>
    <row r="10" spans="1:1" x14ac:dyDescent="0.3">
      <c r="A10" t="s">
        <v>35</v>
      </c>
    </row>
    <row r="11" spans="1:1" x14ac:dyDescent="0.3">
      <c r="A11" t="s">
        <v>36</v>
      </c>
    </row>
    <row r="12" spans="1:1" x14ac:dyDescent="0.3">
      <c r="A12" t="s">
        <v>37</v>
      </c>
    </row>
    <row r="13" spans="1:1" x14ac:dyDescent="0.3">
      <c r="A13" t="s">
        <v>38</v>
      </c>
    </row>
    <row r="14" spans="1:1" x14ac:dyDescent="0.3">
      <c r="A14" t="s">
        <v>39</v>
      </c>
    </row>
    <row r="15" spans="1:1" x14ac:dyDescent="0.3">
      <c r="A15" t="s">
        <v>40</v>
      </c>
    </row>
    <row r="16" spans="1:1" x14ac:dyDescent="0.3">
      <c r="A16" t="s">
        <v>41</v>
      </c>
    </row>
    <row r="17" spans="1:1" x14ac:dyDescent="0.3">
      <c r="A17" t="s">
        <v>42</v>
      </c>
    </row>
    <row r="18" spans="1:1" x14ac:dyDescent="0.3">
      <c r="A18" t="s">
        <v>43</v>
      </c>
    </row>
    <row r="19" spans="1:1" x14ac:dyDescent="0.3">
      <c r="A19" t="s">
        <v>44</v>
      </c>
    </row>
    <row r="20" spans="1:1" x14ac:dyDescent="0.3">
      <c r="A20" t="s">
        <v>45</v>
      </c>
    </row>
    <row r="21" spans="1:1" x14ac:dyDescent="0.3">
      <c r="A21" t="s">
        <v>46</v>
      </c>
    </row>
    <row r="22" spans="1:1" x14ac:dyDescent="0.3">
      <c r="A22" t="s">
        <v>47</v>
      </c>
    </row>
    <row r="23" spans="1:1" x14ac:dyDescent="0.3">
      <c r="A23" t="s">
        <v>48</v>
      </c>
    </row>
    <row r="24" spans="1:1" x14ac:dyDescent="0.3">
      <c r="A24" t="s">
        <v>49</v>
      </c>
    </row>
    <row r="25" spans="1:1" x14ac:dyDescent="0.3">
      <c r="A25" t="s">
        <v>50</v>
      </c>
    </row>
    <row r="26" spans="1:1" x14ac:dyDescent="0.3">
      <c r="A26" t="s">
        <v>51</v>
      </c>
    </row>
    <row r="27" spans="1:1" x14ac:dyDescent="0.3">
      <c r="A27" t="s">
        <v>52</v>
      </c>
    </row>
    <row r="28" spans="1:1" x14ac:dyDescent="0.3">
      <c r="A28" t="s">
        <v>53</v>
      </c>
    </row>
    <row r="29" spans="1:1" x14ac:dyDescent="0.3">
      <c r="A29" t="s">
        <v>54</v>
      </c>
    </row>
    <row r="30" spans="1:1" x14ac:dyDescent="0.3">
      <c r="A30" t="s">
        <v>55</v>
      </c>
    </row>
    <row r="31" spans="1:1" x14ac:dyDescent="0.3">
      <c r="A31" t="s">
        <v>56</v>
      </c>
    </row>
    <row r="32" spans="1:1" x14ac:dyDescent="0.3">
      <c r="A32" t="s">
        <v>57</v>
      </c>
    </row>
    <row r="33" spans="1:1" x14ac:dyDescent="0.3">
      <c r="A33" t="s">
        <v>58</v>
      </c>
    </row>
    <row r="34" spans="1:1" x14ac:dyDescent="0.3">
      <c r="A34" t="s">
        <v>59</v>
      </c>
    </row>
    <row r="35" spans="1:1" x14ac:dyDescent="0.3">
      <c r="A35" t="s">
        <v>60</v>
      </c>
    </row>
    <row r="36" spans="1:1" x14ac:dyDescent="0.3">
      <c r="A36" t="s">
        <v>61</v>
      </c>
    </row>
    <row r="37" spans="1:1" x14ac:dyDescent="0.3">
      <c r="A37" t="s">
        <v>62</v>
      </c>
    </row>
    <row r="38" spans="1:1" x14ac:dyDescent="0.3">
      <c r="A38" t="s">
        <v>63</v>
      </c>
    </row>
    <row r="39" spans="1:1" x14ac:dyDescent="0.3">
      <c r="A39" t="s">
        <v>64</v>
      </c>
    </row>
    <row r="40" spans="1:1" x14ac:dyDescent="0.3">
      <c r="A40" t="s">
        <v>65</v>
      </c>
    </row>
    <row r="41" spans="1:1" x14ac:dyDescent="0.3">
      <c r="A41" t="s">
        <v>66</v>
      </c>
    </row>
    <row r="42" spans="1:1" x14ac:dyDescent="0.3">
      <c r="A42" t="s">
        <v>67</v>
      </c>
    </row>
    <row r="43" spans="1:1" x14ac:dyDescent="0.3">
      <c r="A43" t="s">
        <v>68</v>
      </c>
    </row>
    <row r="44" spans="1:1" x14ac:dyDescent="0.3">
      <c r="A44" t="s">
        <v>69</v>
      </c>
    </row>
    <row r="45" spans="1:1" x14ac:dyDescent="0.3">
      <c r="A45" t="s">
        <v>70</v>
      </c>
    </row>
    <row r="46" spans="1:1" x14ac:dyDescent="0.3">
      <c r="A46" t="s">
        <v>71</v>
      </c>
    </row>
    <row r="47" spans="1:1" x14ac:dyDescent="0.3">
      <c r="A47" t="s">
        <v>72</v>
      </c>
    </row>
    <row r="48" spans="1:1" x14ac:dyDescent="0.3">
      <c r="A48" t="s">
        <v>73</v>
      </c>
    </row>
    <row r="49" spans="1:1" x14ac:dyDescent="0.3">
      <c r="A49" t="s">
        <v>74</v>
      </c>
    </row>
    <row r="50" spans="1:1" x14ac:dyDescent="0.3">
      <c r="A50" t="s">
        <v>75</v>
      </c>
    </row>
    <row r="51" spans="1:1" x14ac:dyDescent="0.3">
      <c r="A51" t="s">
        <v>76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TÍTULAR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V CORREA</dc:creator>
  <cp:lastModifiedBy>LEANDRO V CORREA</cp:lastModifiedBy>
  <dcterms:created xsi:type="dcterms:W3CDTF">2025-06-03T17:45:15Z</dcterms:created>
  <dcterms:modified xsi:type="dcterms:W3CDTF">2025-06-04T18:38:17Z</dcterms:modified>
</cp:coreProperties>
</file>